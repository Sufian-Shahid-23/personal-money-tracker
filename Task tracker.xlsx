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<sst xmlns="http://schemas.openxmlformats.org/spreadsheetml/2006/main" count="72" uniqueCount="49">
  <si>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Dashboard</t>
  </si>
  <si>
    <t>Receivables</t>
  </si>
  <si>
    <t>Saving Tracker</t>
  </si>
  <si>
    <t>Expense Tracker</t>
  </si>
  <si>
    <t>Investments</t>
  </si>
  <si>
    <t>Metric</t>
  </si>
  <si>
    <t>Value</t>
  </si>
  <si>
    <t>Person</t>
  </si>
  <si>
    <t>Reason</t>
  </si>
  <si>
    <t>Amount</t>
  </si>
  <si>
    <t>Date Given</t>
  </si>
  <si>
    <t>Expected Return</t>
  </si>
  <si>
    <t>Returned</t>
  </si>
  <si>
    <t>Date</t>
  </si>
  <si>
    <t>Goal</t>
  </si>
  <si>
    <t>Target</t>
  </si>
  <si>
    <t>Current Saved</t>
  </si>
  <si>
    <t>Remaining</t>
  </si>
  <si>
    <t>Category</t>
  </si>
  <si>
    <t>Description</t>
  </si>
  <si>
    <t>Investment</t>
  </si>
  <si>
    <t>Amount Invested</t>
  </si>
  <si>
    <t>Current Value</t>
  </si>
  <si>
    <t>Profit/Loss</t>
  </si>
  <si>
    <t>Target Amount</t>
  </si>
  <si>
    <t>Deadline</t>
  </si>
  <si>
    <t>Cash Available</t>
  </si>
  <si>
    <t xml:space="preserve">Ahmad </t>
  </si>
  <si>
    <t>Loan</t>
  </si>
  <si>
    <t>Laptop</t>
  </si>
  <si>
    <t>Food</t>
  </si>
  <si>
    <t>Burger</t>
  </si>
  <si>
    <t>Stock</t>
  </si>
  <si>
    <t>Savings</t>
  </si>
  <si>
    <t>Car</t>
  </si>
  <si>
    <t>Bills</t>
  </si>
  <si>
    <t>Car gas</t>
  </si>
  <si>
    <t>Transport</t>
  </si>
  <si>
    <t>Ticket to ohio</t>
  </si>
  <si>
    <t>Payables</t>
  </si>
  <si>
    <t>Net Worth</t>
  </si>
  <si>
    <t>Total</t>
  </si>
  <si>
    <t>Income Tracker</t>
  </si>
  <si>
    <t>Source</t>
  </si>
  <si>
    <t>Abdul Monam</t>
  </si>
  <si>
    <t>Freelance</t>
  </si>
  <si>
    <t>Upwork</t>
  </si>
  <si>
    <t>Usman Tahir</t>
  </si>
  <si>
    <t>Internet Bill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</si>
</sst>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;@"/>
    <numFmt numFmtId="179" formatCode="[$-409]d\-mmm\-yyyy;@"/>
    <numFmt numFmtId="180" formatCode="m/d/yyyy;@"/>
    <numFmt numFmtId="181" formatCode="0_);[Red]\(0\)"/>
  </numFmts>
  <fonts count="26">
    <font>
      <sz val="11"/>
      <color theme="1"/>
      <name val="Calibri"/>
      <charset val="134"/>
      <scheme val="minor"/>
    </font>
    <font>
      <b/>
      <sz val="16"/>
      <color theme="0"/>
      <name val="Abril Fatface"/>
      <charset val="134"/>
    </font>
    <font>
      <b/>
      <sz val="11"/>
      <color theme="0"/>
      <name val="Calibri"/>
      <charset val="134"/>
      <scheme val="minor"/>
    </font>
    <font>
      <sz val="16"/>
      <color theme="0"/>
      <name val="Avenir LT Std 65 Medium"/>
      <charset val="134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-0.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6" applyNumberFormat="0" applyAlignment="0" applyProtection="0">
      <alignment vertical="center"/>
    </xf>
    <xf numFmtId="0" fontId="16" fillId="13" borderId="17" applyNumberFormat="0" applyAlignment="0" applyProtection="0">
      <alignment vertical="center"/>
    </xf>
    <xf numFmtId="0" fontId="17" fillId="13" borderId="16" applyNumberFormat="0" applyAlignment="0" applyProtection="0">
      <alignment vertical="center"/>
    </xf>
    <xf numFmtId="0" fontId="18" fillId="14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8" fontId="3" fillId="3" borderId="0" xfId="0" applyNumberFormat="1" applyFont="1" applyFill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81" fontId="3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180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81" fontId="3" fillId="6" borderId="0" xfId="0" applyNumberFormat="1" applyFont="1" applyFill="1" applyAlignment="1">
      <alignment horizontal="center" vertical="center"/>
    </xf>
    <xf numFmtId="180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178" fontId="5" fillId="0" borderId="3" xfId="0" applyNumberFormat="1" applyFont="1" applyFill="1" applyBorder="1" applyAlignment="1">
      <alignment horizontal="left" vertical="center" wrapText="1"/>
    </xf>
    <xf numFmtId="179" fontId="5" fillId="0" borderId="3" xfId="0" applyNumberFormat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81" fontId="5" fillId="0" borderId="3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81" fontId="5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80" fontId="5" fillId="0" borderId="3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vertical="center"/>
    </xf>
    <xf numFmtId="0" fontId="6" fillId="8" borderId="5" xfId="0" applyFont="1" applyFill="1" applyBorder="1">
      <alignment vertical="center"/>
    </xf>
    <xf numFmtId="0" fontId="6" fillId="8" borderId="4" xfId="0" applyFont="1" applyFill="1" applyBorder="1" applyAlignment="1">
      <alignment vertical="center" wrapText="1"/>
    </xf>
    <xf numFmtId="0" fontId="0" fillId="8" borderId="6" xfId="0" applyFont="1" applyFill="1" applyBorder="1" applyAlignment="1">
      <alignment vertical="center" wrapText="1"/>
    </xf>
    <xf numFmtId="3" fontId="0" fillId="8" borderId="6" xfId="0" applyNumberFormat="1" applyFont="1" applyFill="1" applyBorder="1" applyAlignment="1">
      <alignment vertical="center" wrapText="1"/>
    </xf>
    <xf numFmtId="178" fontId="0" fillId="8" borderId="6" xfId="0" applyNumberFormat="1" applyFont="1" applyFill="1" applyBorder="1" applyAlignment="1">
      <alignment vertical="center" wrapText="1"/>
    </xf>
    <xf numFmtId="179" fontId="0" fillId="8" borderId="6" xfId="0" applyNumberFormat="1" applyFont="1" applyFill="1" applyBorder="1" applyAlignment="1">
      <alignment vertical="center" wrapText="1"/>
    </xf>
    <xf numFmtId="0" fontId="0" fillId="8" borderId="5" xfId="0" applyFont="1" applyFill="1" applyBorder="1" applyAlignment="1">
      <alignment vertical="center" wrapText="1"/>
    </xf>
    <xf numFmtId="180" fontId="0" fillId="8" borderId="4" xfId="0" applyNumberFormat="1" applyFont="1" applyFill="1" applyBorder="1" applyAlignment="1">
      <alignment horizontal="left" vertical="center" wrapText="1"/>
    </xf>
    <xf numFmtId="181" fontId="0" fillId="8" borderId="6" xfId="0" applyNumberFormat="1" applyFont="1" applyFill="1" applyBorder="1" applyAlignment="1">
      <alignment vertical="center" wrapText="1"/>
    </xf>
    <xf numFmtId="3" fontId="0" fillId="8" borderId="5" xfId="0" applyNumberFormat="1" applyFont="1" applyFill="1" applyBorder="1" applyAlignment="1">
      <alignment vertical="center" wrapText="1"/>
    </xf>
    <xf numFmtId="181" fontId="0" fillId="8" borderId="5" xfId="0" applyNumberFormat="1" applyFont="1" applyFill="1" applyBorder="1" applyAlignment="1">
      <alignment vertical="center" wrapText="1"/>
    </xf>
    <xf numFmtId="0" fontId="0" fillId="8" borderId="4" xfId="0" applyFont="1" applyFill="1" applyBorder="1" applyAlignment="1">
      <alignment vertical="center" wrapText="1"/>
    </xf>
    <xf numFmtId="180" fontId="0" fillId="8" borderId="6" xfId="0" applyNumberFormat="1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/>
    </xf>
    <xf numFmtId="0" fontId="6" fillId="0" borderId="8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0" fillId="0" borderId="9" xfId="0" applyFont="1" applyFill="1" applyBorder="1">
      <alignment vertical="center"/>
    </xf>
    <xf numFmtId="178" fontId="0" fillId="0" borderId="9" xfId="0" applyNumberFormat="1" applyFont="1" applyFill="1" applyBorder="1">
      <alignment vertical="center"/>
    </xf>
    <xf numFmtId="179" fontId="0" fillId="0" borderId="9" xfId="0" applyNumberFormat="1" applyFont="1" applyFill="1" applyBorder="1">
      <alignment vertical="center"/>
    </xf>
    <xf numFmtId="0" fontId="0" fillId="0" borderId="8" xfId="0" applyFont="1" applyFill="1" applyBorder="1">
      <alignment vertical="center"/>
    </xf>
    <xf numFmtId="180" fontId="0" fillId="0" borderId="7" xfId="0" applyNumberFormat="1" applyFont="1" applyFill="1" applyBorder="1" applyAlignment="1">
      <alignment horizontal="left" vertical="center"/>
    </xf>
    <xf numFmtId="181" fontId="0" fillId="0" borderId="9" xfId="0" applyNumberFormat="1" applyFont="1" applyFill="1" applyBorder="1">
      <alignment vertical="center"/>
    </xf>
    <xf numFmtId="181" fontId="0" fillId="0" borderId="8" xfId="0" applyNumberFormat="1" applyFont="1" applyFill="1" applyBorder="1">
      <alignment vertical="center"/>
    </xf>
    <xf numFmtId="0" fontId="0" fillId="0" borderId="7" xfId="0" applyFont="1" applyFill="1" applyBorder="1" applyAlignment="1">
      <alignment horizontal="left" vertical="center"/>
    </xf>
    <xf numFmtId="180" fontId="0" fillId="0" borderId="9" xfId="0" applyNumberFormat="1" applyFont="1" applyFill="1" applyBorder="1">
      <alignment vertical="center"/>
    </xf>
    <xf numFmtId="0" fontId="6" fillId="8" borderId="7" xfId="0" applyFont="1" applyFill="1" applyBorder="1" applyAlignment="1">
      <alignment vertical="center"/>
    </xf>
    <xf numFmtId="0" fontId="6" fillId="8" borderId="8" xfId="0" applyFont="1" applyFill="1" applyBorder="1">
      <alignment vertical="center"/>
    </xf>
    <xf numFmtId="0" fontId="6" fillId="8" borderId="7" xfId="0" applyFont="1" applyFill="1" applyBorder="1">
      <alignment vertical="center"/>
    </xf>
    <xf numFmtId="0" fontId="0" fillId="8" borderId="9" xfId="0" applyFont="1" applyFill="1" applyBorder="1">
      <alignment vertical="center"/>
    </xf>
    <xf numFmtId="178" fontId="0" fillId="8" borderId="9" xfId="0" applyNumberFormat="1" applyFont="1" applyFill="1" applyBorder="1">
      <alignment vertical="center"/>
    </xf>
    <xf numFmtId="179" fontId="0" fillId="8" borderId="9" xfId="0" applyNumberFormat="1" applyFont="1" applyFill="1" applyBorder="1">
      <alignment vertical="center"/>
    </xf>
    <xf numFmtId="0" fontId="0" fillId="8" borderId="8" xfId="0" applyFont="1" applyFill="1" applyBorder="1">
      <alignment vertical="center"/>
    </xf>
    <xf numFmtId="180" fontId="0" fillId="8" borderId="7" xfId="0" applyNumberFormat="1" applyFont="1" applyFill="1" applyBorder="1" applyAlignment="1">
      <alignment horizontal="left" vertical="center"/>
    </xf>
    <xf numFmtId="181" fontId="0" fillId="8" borderId="9" xfId="0" applyNumberFormat="1" applyFont="1" applyFill="1" applyBorder="1">
      <alignment vertical="center"/>
    </xf>
    <xf numFmtId="181" fontId="0" fillId="8" borderId="8" xfId="0" applyNumberFormat="1" applyFont="1" applyFill="1" applyBorder="1">
      <alignment vertical="center"/>
    </xf>
    <xf numFmtId="0" fontId="0" fillId="8" borderId="7" xfId="0" applyFont="1" applyFill="1" applyBorder="1" applyAlignment="1">
      <alignment horizontal="left" vertical="center"/>
    </xf>
    <xf numFmtId="180" fontId="0" fillId="8" borderId="9" xfId="0" applyNumberFormat="1" applyFont="1" applyFill="1" applyBorder="1">
      <alignment vertical="center"/>
    </xf>
    <xf numFmtId="0" fontId="6" fillId="9" borderId="10" xfId="0" applyFont="1" applyFill="1" applyBorder="1" applyAlignment="1">
      <alignment vertical="center"/>
    </xf>
    <xf numFmtId="0" fontId="6" fillId="9" borderId="11" xfId="0" applyFont="1" applyFill="1" applyBorder="1">
      <alignment vertical="center"/>
    </xf>
    <xf numFmtId="0" fontId="6" fillId="0" borderId="10" xfId="0" applyFont="1" applyFill="1" applyBorder="1">
      <alignment vertical="center"/>
    </xf>
    <xf numFmtId="0" fontId="0" fillId="0" borderId="12" xfId="0" applyFont="1" applyFill="1" applyBorder="1">
      <alignment vertical="center"/>
    </xf>
    <xf numFmtId="178" fontId="0" fillId="0" borderId="12" xfId="0" applyNumberFormat="1" applyFont="1" applyFill="1" applyBorder="1">
      <alignment vertical="center"/>
    </xf>
    <xf numFmtId="179" fontId="0" fillId="0" borderId="12" xfId="0" applyNumberFormat="1" applyFont="1" applyFill="1" applyBorder="1">
      <alignment vertical="center"/>
    </xf>
    <xf numFmtId="0" fontId="0" fillId="0" borderId="11" xfId="0" applyFont="1" applyFill="1" applyBorder="1">
      <alignment vertical="center"/>
    </xf>
    <xf numFmtId="180" fontId="0" fillId="0" borderId="10" xfId="0" applyNumberFormat="1" applyFont="1" applyFill="1" applyBorder="1" applyAlignment="1">
      <alignment horizontal="left" vertical="center"/>
    </xf>
    <xf numFmtId="181" fontId="0" fillId="0" borderId="12" xfId="0" applyNumberFormat="1" applyFont="1" applyFill="1" applyBorder="1">
      <alignment vertical="center"/>
    </xf>
    <xf numFmtId="179" fontId="0" fillId="0" borderId="11" xfId="0" applyNumberFormat="1" applyFont="1" applyFill="1" applyBorder="1">
      <alignment vertical="center"/>
    </xf>
    <xf numFmtId="181" fontId="0" fillId="0" borderId="11" xfId="0" applyNumberFormat="1" applyFont="1" applyFill="1" applyBorder="1">
      <alignment vertical="center"/>
    </xf>
    <xf numFmtId="0" fontId="0" fillId="0" borderId="10" xfId="0" applyFont="1" applyFill="1" applyBorder="1" applyAlignment="1">
      <alignment horizontal="left" vertical="center"/>
    </xf>
    <xf numFmtId="180" fontId="0" fillId="0" borderId="12" xfId="0" applyNumberFormat="1" applyFont="1" applyFill="1" applyBorder="1">
      <alignment vertical="center"/>
    </xf>
    <xf numFmtId="179" fontId="0" fillId="10" borderId="6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1"/>
  <sheetViews>
    <sheetView showGridLines="0" tabSelected="1" zoomScale="150" zoomScaleNormal="150" topLeftCell="O1" workbookViewId="0">
      <selection activeCell="S12" sqref="S12"/>
    </sheetView>
  </sheetViews>
  <sheetFormatPr defaultColWidth="8.72727272727273" defaultRowHeight="14.5"/>
  <cols>
    <col min="1" max="1" width="52.1363636363636" customWidth="1"/>
    <col min="2" max="2" width="21.7272727272727" customWidth="1"/>
    <col min="4" max="4" width="22.4545454545455" customWidth="1"/>
    <col min="5" max="5" width="30.6363636363636" customWidth="1"/>
    <col min="6" max="6" width="11.8181818181818" customWidth="1"/>
    <col min="7" max="7" width="12.2727272727273" style="1" customWidth="1"/>
    <col min="8" max="8" width="18.7272727272727" style="2" customWidth="1"/>
    <col min="9" max="9" width="9.72727272727273" customWidth="1"/>
    <col min="11" max="11" width="17.7272727272727" style="3" customWidth="1"/>
    <col min="12" max="12" width="25.8181818181818" customWidth="1"/>
    <col min="13" max="13" width="14" customWidth="1"/>
    <col min="14" max="14" width="22.3636363636364" style="4" customWidth="1"/>
    <col min="15" max="15" width="20.3636363636364" customWidth="1"/>
    <col min="16" max="16" width="11.6363636363636" customWidth="1"/>
    <col min="17" max="17" width="12.1545454545455" style="3" customWidth="1"/>
    <col min="18" max="18" width="15.2181818181818" customWidth="1"/>
    <col min="19" max="19" width="27.7909090909091" customWidth="1"/>
    <col min="20" max="20" width="16.2818181818182" style="4" customWidth="1"/>
    <col min="22" max="22" width="12.7909090909091" style="3" customWidth="1"/>
    <col min="23" max="23" width="15.5272727272727" customWidth="1"/>
    <col min="24" max="24" width="19.8818181818182" customWidth="1"/>
    <col min="25" max="25" width="18.6" customWidth="1"/>
    <col min="26" max="26" width="17.7545454545455" customWidth="1"/>
    <col min="28" max="28" width="15.2" customWidth="1"/>
    <col min="29" max="29" width="17.4727272727273" customWidth="1"/>
    <col min="30" max="30" width="14.4909090909091" style="3" customWidth="1"/>
    <col min="31" max="31" width="19.4636363636364" customWidth="1"/>
  </cols>
  <sheetData>
    <row r="1" ht="20.5" spans="1:30">
      <c r="A1" s="5" t="s">
        <v>0</v>
      </c>
      <c r="B1" s="6"/>
      <c r="D1" s="7" t="s">
        <v>1</v>
      </c>
      <c r="E1" s="7"/>
      <c r="F1" s="7"/>
      <c r="G1" s="8"/>
      <c r="H1" s="9"/>
      <c r="I1" s="7"/>
      <c r="K1" s="10" t="s">
        <v>2</v>
      </c>
      <c r="L1" s="11"/>
      <c r="M1" s="11"/>
      <c r="N1" s="12"/>
      <c r="O1" s="11"/>
      <c r="P1" s="13"/>
      <c r="Q1" s="14" t="s">
        <v>3</v>
      </c>
      <c r="R1" s="15"/>
      <c r="S1" s="15"/>
      <c r="T1" s="16"/>
      <c r="V1" s="17" t="s">
        <v>4</v>
      </c>
      <c r="W1" s="18"/>
      <c r="X1" s="18"/>
      <c r="Y1" s="18"/>
      <c r="Z1" s="18"/>
      <c r="AB1" s="11" t="s">
        <v>3</v>
      </c>
      <c r="AC1" s="11"/>
      <c r="AD1" s="10"/>
    </row>
    <row r="2" ht="20.5" spans="1:30">
      <c r="A2" s="6"/>
      <c r="B2" s="6"/>
      <c r="D2" s="7"/>
      <c r="E2" s="7"/>
      <c r="F2" s="7"/>
      <c r="G2" s="8"/>
      <c r="H2" s="9"/>
      <c r="I2" s="7"/>
      <c r="K2" s="10"/>
      <c r="L2" s="11"/>
      <c r="M2" s="11"/>
      <c r="N2" s="12"/>
      <c r="O2" s="11"/>
      <c r="P2" s="13"/>
      <c r="Q2" s="14"/>
      <c r="R2" s="15"/>
      <c r="S2" s="15"/>
      <c r="T2" s="16"/>
      <c r="V2" s="17"/>
      <c r="W2" s="18"/>
      <c r="X2" s="18"/>
      <c r="Y2" s="18"/>
      <c r="Z2" s="18"/>
      <c r="AB2" s="11"/>
      <c r="AC2" s="11"/>
      <c r="AD2" s="10"/>
    </row>
    <row r="3" ht="29" customHeight="1" spans="1:30">
      <c r="A3" s="19" t="s">
        <v>5</v>
      </c>
      <c r="B3" s="20" t="s">
        <v>6</v>
      </c>
      <c r="D3" s="21" t="s">
        <v>7</v>
      </c>
      <c r="E3" s="22" t="s">
        <v>8</v>
      </c>
      <c r="F3" s="22" t="s">
        <v>9</v>
      </c>
      <c r="G3" s="23" t="s">
        <v>10</v>
      </c>
      <c r="H3" s="24" t="s">
        <v>11</v>
      </c>
      <c r="I3" s="25" t="s">
        <v>12</v>
      </c>
      <c r="K3" s="26" t="s">
        <v>13</v>
      </c>
      <c r="L3" s="27" t="s">
        <v>14</v>
      </c>
      <c r="M3" s="27" t="s">
        <v>15</v>
      </c>
      <c r="N3" s="28" t="s">
        <v>16</v>
      </c>
      <c r="O3" s="29" t="s">
        <v>17</v>
      </c>
      <c r="Q3" s="26" t="s">
        <v>13</v>
      </c>
      <c r="R3" s="27" t="s">
        <v>18</v>
      </c>
      <c r="S3" s="27" t="s">
        <v>19</v>
      </c>
      <c r="T3" s="30" t="s">
        <v>9</v>
      </c>
      <c r="V3" s="26" t="s">
        <v>13</v>
      </c>
      <c r="W3" s="27" t="s">
        <v>20</v>
      </c>
      <c r="X3" s="27" t="s">
        <v>21</v>
      </c>
      <c r="Y3" s="27" t="s">
        <v>22</v>
      </c>
      <c r="Z3" s="29" t="s">
        <v>23</v>
      </c>
      <c r="AB3" s="31" t="s">
        <v>14</v>
      </c>
      <c r="AC3" s="27" t="s">
        <v>24</v>
      </c>
      <c r="AD3" s="32" t="s">
        <v>25</v>
      </c>
    </row>
    <row r="4" ht="20" customHeight="1" spans="1:30">
      <c r="A4" s="33" t="s">
        <v>26</v>
      </c>
      <c r="B4" s="34"/>
      <c r="D4" s="35" t="s">
        <v>27</v>
      </c>
      <c r="E4" s="36" t="s">
        <v>28</v>
      </c>
      <c r="F4" s="37">
        <v>4900</v>
      </c>
      <c r="G4" s="38">
        <v>46175</v>
      </c>
      <c r="H4" s="39">
        <v>46254</v>
      </c>
      <c r="I4" s="40">
        <v>0</v>
      </c>
      <c r="K4" s="41">
        <v>46175</v>
      </c>
      <c r="L4" s="36" t="s">
        <v>29</v>
      </c>
      <c r="M4" s="37">
        <v>100000</v>
      </c>
      <c r="N4" s="42">
        <v>35000</v>
      </c>
      <c r="O4" s="43">
        <f>M4-N4</f>
        <v>65000</v>
      </c>
      <c r="Q4" s="41">
        <v>46175</v>
      </c>
      <c r="R4" s="36" t="s">
        <v>30</v>
      </c>
      <c r="S4" s="36" t="s">
        <v>31</v>
      </c>
      <c r="T4" s="44">
        <v>500</v>
      </c>
      <c r="V4" s="41">
        <v>46175</v>
      </c>
      <c r="W4" s="36" t="s">
        <v>32</v>
      </c>
      <c r="X4" s="37">
        <v>10000</v>
      </c>
      <c r="Y4" s="37">
        <v>12000</v>
      </c>
      <c r="Z4" s="43">
        <f>Y4-X4</f>
        <v>2000</v>
      </c>
      <c r="AB4" s="45" t="s">
        <v>29</v>
      </c>
      <c r="AC4" s="37">
        <v>100000</v>
      </c>
      <c r="AD4" s="46">
        <v>46357</v>
      </c>
    </row>
    <row r="5" ht="20" customHeight="1" spans="1:30">
      <c r="A5" s="47" t="s">
        <v>33</v>
      </c>
      <c r="B5" s="48">
        <f>N9</f>
        <v>35000</v>
      </c>
      <c r="D5" s="49"/>
      <c r="E5" s="50"/>
      <c r="F5" s="50"/>
      <c r="G5" s="51"/>
      <c r="H5" s="52"/>
      <c r="I5" s="53"/>
      <c r="K5" s="54"/>
      <c r="L5" s="50" t="s">
        <v>34</v>
      </c>
      <c r="M5" s="50">
        <v>1500000</v>
      </c>
      <c r="N5" s="55">
        <v>0</v>
      </c>
      <c r="O5" s="43">
        <f>M5-N5</f>
        <v>1500000</v>
      </c>
      <c r="Q5" s="41">
        <v>46176</v>
      </c>
      <c r="R5" s="50" t="s">
        <v>35</v>
      </c>
      <c r="S5" s="50" t="s">
        <v>36</v>
      </c>
      <c r="T5" s="56">
        <v>240</v>
      </c>
      <c r="V5" s="54"/>
      <c r="W5" s="50"/>
      <c r="X5" s="50"/>
      <c r="Y5" s="51"/>
      <c r="Z5" s="43">
        <f>Y5-X5</f>
        <v>0</v>
      </c>
      <c r="AB5" s="57"/>
      <c r="AC5" s="50"/>
      <c r="AD5" s="58"/>
    </row>
    <row r="6" ht="20" customHeight="1" spans="1:30">
      <c r="A6" s="59" t="s">
        <v>4</v>
      </c>
      <c r="B6" s="60">
        <f>X9</f>
        <v>10000</v>
      </c>
      <c r="D6" s="61"/>
      <c r="E6" s="62"/>
      <c r="F6" s="62"/>
      <c r="G6" s="63"/>
      <c r="H6" s="64"/>
      <c r="I6" s="65"/>
      <c r="K6" s="66"/>
      <c r="L6" s="62"/>
      <c r="M6" s="62"/>
      <c r="N6" s="67"/>
      <c r="O6" s="43">
        <f>M6-N6</f>
        <v>0</v>
      </c>
      <c r="Q6" s="41">
        <v>46177</v>
      </c>
      <c r="R6" s="62" t="s">
        <v>37</v>
      </c>
      <c r="S6" s="62" t="s">
        <v>38</v>
      </c>
      <c r="T6" s="68">
        <v>200</v>
      </c>
      <c r="V6" s="66"/>
      <c r="W6" s="62"/>
      <c r="X6" s="62"/>
      <c r="Y6" s="63"/>
      <c r="Z6" s="43">
        <f>Y6-X6</f>
        <v>0</v>
      </c>
      <c r="AB6" s="69"/>
      <c r="AC6" s="62"/>
      <c r="AD6" s="70"/>
    </row>
    <row r="7" ht="20" customHeight="1" spans="1:30">
      <c r="A7" s="47" t="s">
        <v>1</v>
      </c>
      <c r="B7" s="48">
        <f>F9</f>
        <v>4900</v>
      </c>
      <c r="D7" s="49"/>
      <c r="E7" s="50"/>
      <c r="F7" s="50"/>
      <c r="G7" s="51"/>
      <c r="H7" s="52"/>
      <c r="I7" s="53"/>
      <c r="K7" s="54"/>
      <c r="L7" s="50"/>
      <c r="M7" s="50"/>
      <c r="N7" s="55"/>
      <c r="O7" s="43">
        <f>M7-N7</f>
        <v>0</v>
      </c>
      <c r="Q7" s="54"/>
      <c r="R7" s="50"/>
      <c r="S7" s="50"/>
      <c r="T7" s="56"/>
      <c r="V7" s="54"/>
      <c r="W7" s="50"/>
      <c r="X7" s="50"/>
      <c r="Y7" s="51"/>
      <c r="Z7" s="43">
        <f>Y7-X7</f>
        <v>0</v>
      </c>
      <c r="AB7" s="57"/>
      <c r="AC7" s="50"/>
      <c r="AD7" s="58"/>
    </row>
    <row r="8" ht="20" customHeight="1" spans="1:30">
      <c r="A8" s="59" t="s">
        <v>39</v>
      </c>
      <c r="B8" s="60">
        <f>F21</f>
        <v>37000</v>
      </c>
      <c r="D8" s="61"/>
      <c r="E8" s="62"/>
      <c r="F8" s="62"/>
      <c r="G8" s="63"/>
      <c r="H8" s="64"/>
      <c r="I8" s="65"/>
      <c r="K8" s="66"/>
      <c r="L8" s="62"/>
      <c r="M8" s="62"/>
      <c r="N8" s="67"/>
      <c r="O8" s="43">
        <f>M8-N8</f>
        <v>0</v>
      </c>
      <c r="Q8" s="66"/>
      <c r="R8" s="62"/>
      <c r="S8" s="62"/>
      <c r="T8" s="68"/>
      <c r="V8" s="66"/>
      <c r="W8" s="62"/>
      <c r="X8" s="62"/>
      <c r="Y8" s="63"/>
      <c r="Z8" s="43">
        <f>Y8-X8</f>
        <v>0</v>
      </c>
      <c r="AB8" s="69"/>
      <c r="AC8" s="62"/>
      <c r="AD8" s="70"/>
    </row>
    <row r="9" ht="20" customHeight="1" spans="1:30">
      <c r="A9" s="71" t="s">
        <v>40</v>
      </c>
      <c r="B9" s="72">
        <f>B4+B5+B6+B7-B8</f>
        <v>12900</v>
      </c>
      <c r="D9" s="73" t="s">
        <v>41</v>
      </c>
      <c r="E9" s="74"/>
      <c r="F9" s="74">
        <f>SUM(F4:F8)</f>
        <v>4900</v>
      </c>
      <c r="G9" s="75"/>
      <c r="H9" s="76"/>
      <c r="I9" s="77"/>
      <c r="K9" s="78" t="s">
        <v>41</v>
      </c>
      <c r="L9" s="74"/>
      <c r="M9" s="74"/>
      <c r="N9" s="79">
        <f>SUM(N4:N8)</f>
        <v>35000</v>
      </c>
      <c r="O9" s="80"/>
      <c r="Q9" s="78" t="s">
        <v>41</v>
      </c>
      <c r="R9" s="74"/>
      <c r="S9" s="74"/>
      <c r="T9" s="81">
        <f>SUM(T4:T8)</f>
        <v>940</v>
      </c>
      <c r="V9" s="78" t="s">
        <v>41</v>
      </c>
      <c r="W9" s="74"/>
      <c r="X9" s="74">
        <f>SUM(X4:X8)</f>
        <v>10000</v>
      </c>
      <c r="Y9" s="75"/>
      <c r="Z9" s="43"/>
      <c r="AB9" s="82"/>
      <c r="AC9" s="74"/>
      <c r="AD9" s="83"/>
    </row>
    <row r="13" spans="1:30">
      <c r="D13" s="7" t="s">
        <v>39</v>
      </c>
      <c r="E13" s="7"/>
      <c r="F13" s="7"/>
      <c r="G13" s="8"/>
      <c r="H13" s="9"/>
      <c r="I13" s="7"/>
      <c r="K13" s="10" t="s">
        <v>42</v>
      </c>
      <c r="L13" s="11"/>
      <c r="M13" s="11"/>
      <c r="N13" s="12"/>
    </row>
    <row r="14" spans="1:30">
      <c r="D14" s="7"/>
      <c r="E14" s="7"/>
      <c r="F14" s="7"/>
      <c r="G14" s="8"/>
      <c r="H14" s="9"/>
      <c r="I14" s="7"/>
      <c r="K14" s="10"/>
      <c r="L14" s="11"/>
      <c r="M14" s="11"/>
      <c r="N14" s="12"/>
    </row>
    <row r="15" ht="20" customHeight="1" spans="1:30">
      <c r="D15" s="21" t="s">
        <v>7</v>
      </c>
      <c r="E15" s="22" t="s">
        <v>8</v>
      </c>
      <c r="F15" s="22" t="s">
        <v>9</v>
      </c>
      <c r="G15" s="23" t="s">
        <v>10</v>
      </c>
      <c r="H15" s="24" t="s">
        <v>11</v>
      </c>
      <c r="I15" s="25" t="s">
        <v>12</v>
      </c>
      <c r="K15" s="26" t="s">
        <v>13</v>
      </c>
      <c r="L15" s="27" t="s">
        <v>43</v>
      </c>
      <c r="M15" s="27" t="s">
        <v>18</v>
      </c>
      <c r="N15" s="30" t="s">
        <v>9</v>
      </c>
    </row>
    <row r="16" ht="20" customHeight="1" spans="1:30">
      <c r="D16" s="35" t="s">
        <v>44</v>
      </c>
      <c r="E16" s="36" t="s">
        <v>28</v>
      </c>
      <c r="F16" s="37">
        <v>28000</v>
      </c>
      <c r="G16" s="38">
        <v>46114</v>
      </c>
      <c r="H16" s="39">
        <v>46254</v>
      </c>
      <c r="I16" s="40">
        <v>0</v>
      </c>
      <c r="K16" s="41">
        <v>46175</v>
      </c>
      <c r="L16" s="36" t="s">
        <v>45</v>
      </c>
      <c r="M16" s="36" t="s">
        <v>46</v>
      </c>
      <c r="N16" s="44">
        <v>20000</v>
      </c>
    </row>
    <row r="17" ht="20" customHeight="1" spans="4:14">
      <c r="D17" s="49" t="s">
        <v>47</v>
      </c>
      <c r="E17" s="50" t="s">
        <v>48</v>
      </c>
      <c r="F17" s="50">
        <v>9000</v>
      </c>
      <c r="G17" s="51">
        <v>46144</v>
      </c>
      <c r="H17" s="84">
        <v>46254</v>
      </c>
      <c r="I17" s="53">
        <v>0</v>
      </c>
      <c r="K17" s="54"/>
      <c r="L17" s="50"/>
      <c r="M17" s="50"/>
      <c r="N17" s="56"/>
    </row>
    <row r="18" ht="20" customHeight="1" spans="4:14">
      <c r="D18" s="61"/>
      <c r="E18" s="62"/>
      <c r="F18" s="62"/>
      <c r="G18" s="63"/>
      <c r="H18" s="64"/>
      <c r="I18" s="65"/>
      <c r="K18" s="66"/>
      <c r="L18" s="62"/>
      <c r="M18" s="62"/>
      <c r="N18" s="68"/>
    </row>
    <row r="19" ht="20" customHeight="1" spans="4:14">
      <c r="D19" s="49"/>
      <c r="E19" s="50"/>
      <c r="F19" s="50"/>
      <c r="G19" s="51"/>
      <c r="H19" s="52"/>
      <c r="I19" s="53"/>
      <c r="K19" s="54"/>
      <c r="L19" s="50"/>
      <c r="M19" s="50"/>
      <c r="N19" s="56"/>
    </row>
    <row r="20" ht="20" customHeight="1" spans="4:14">
      <c r="D20" s="61"/>
      <c r="E20" s="62"/>
      <c r="F20" s="62"/>
      <c r="G20" s="63"/>
      <c r="H20" s="64"/>
      <c r="I20" s="65"/>
      <c r="K20" s="66"/>
      <c r="L20" s="62"/>
      <c r="M20" s="62"/>
      <c r="N20" s="68"/>
    </row>
    <row r="21" ht="20" customHeight="1" spans="4:14">
      <c r="D21" s="73" t="s">
        <v>41</v>
      </c>
      <c r="E21" s="74"/>
      <c r="F21" s="74">
        <f>SUM(F16:F20)</f>
        <v>37000</v>
      </c>
      <c r="G21" s="75"/>
      <c r="H21" s="76"/>
      <c r="I21" s="77"/>
      <c r="K21" s="78"/>
      <c r="L21" s="74"/>
      <c r="M21" s="74"/>
      <c r="N21" s="81"/>
    </row>
  </sheetData>
  <mergeCells count="8">
    <mergeCell ref="A1:B2"/>
    <mergeCell ref="D1:I2"/>
    <mergeCell ref="D13:I14"/>
    <mergeCell ref="K1:O2"/>
    <mergeCell ref="Q1:T2"/>
    <mergeCell ref="K13:N14"/>
    <mergeCell ref="V1:Z2"/>
    <mergeCell ref="AB1:A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M.Sufian Shahid</cp:lastModifiedBy>
  <dcterms:created xsi:type="dcterms:W3CDTF">2026-06-02T00:36:00Z</dcterms:created>
  <dcterms:modified xsi:type="dcterms:W3CDTF">2026-06-03T17:10:48Z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94B60F1749294AEF92B711298906C153_11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